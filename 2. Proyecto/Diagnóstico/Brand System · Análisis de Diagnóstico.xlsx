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Crudas" sheetId="1" state="visible" r:id="rId3"/>
    <sheet name="Affinity Map" sheetId="2" state="visible" r:id="rId4"/>
    <sheet name="Insights Clave" sheetId="3" state="visible" r:id="rId5"/>
    <sheet name="Métricas" sheetId="4" state="visible" r:id="rId6"/>
    <sheet name="Matriz F×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<sst xmlns="http://schemas.openxmlformats.org/spreadsheetml/2006/main" count="338" uniqueCount="173">
  <si>
    <t xml:space="preserve">Marca temporal</t>
  </si>
  <si>
    <t xml:space="preserve">Email</t>
  </si>
  <si>
    <t xml:space="preserve">Equipo</t>
  </si>
  <si>
    <t xml:space="preserve">Fricción principal</t>
  </si>
  <si>
    <t xml:space="preserve">Frecuencia</t>
  </si>
  <si>
    <t xml:space="preserve">Frecuencia (n)</t>
  </si>
  <si>
    <t xml:space="preserve">Tiempo/semana</t>
  </si>
  <si>
    <t xml:space="preserve">Cambio sugerido</t>
  </si>
  <si>
    <t xml:space="preserve">Cluster asignado</t>
  </si>
  <si>
    <t xml:space="preserve">Código cluster</t>
  </si>
  <si>
    <t xml:space="preserve">10/06/2026 16:52</t>
  </si>
  <si>
    <t xml:space="preserve">alejandra.diaz@100ladrillos.com</t>
  </si>
  <si>
    <t xml:space="preserve">Marketing</t>
  </si>
  <si>
    <t xml:space="preserve">El poder descargar algún elemento directamente, como la paleta de colores</t>
  </si>
  <si>
    <t xml:space="preserve">Casi nunca</t>
  </si>
  <si>
    <t xml:space="preserve">Menos de 30 minutos</t>
  </si>
  <si>
    <t xml:space="preserve">Que esté actualizado y que se puedan descargar elementos directamente.</t>
  </si>
  <si>
    <t xml:space="preserve">Distribution</t>
  </si>
  <si>
    <t xml:space="preserve">10/06/2026 17:04</t>
  </si>
  <si>
    <t xml:space="preserve">gustavo.velarde@100ladrillos.com</t>
  </si>
  <si>
    <t xml:space="preserve">Compartir la información con proveedores; secciones nombradas de manera genérica</t>
  </si>
  <si>
    <t xml:space="preserve">Ocasional (algunas veces al mes)</t>
  </si>
  <si>
    <t xml:space="preserve">Repositorio propio interactivo. Eliminar ilustraciones pasadas de moda. Corregir errores ortográficos.</t>
  </si>
  <si>
    <t xml:space="preserve">Asset Drift</t>
  </si>
  <si>
    <t xml:space="preserve">gerardo.luna@100ladrillos.com</t>
  </si>
  <si>
    <t xml:space="preserve">Tecnología / Desarrollo</t>
  </si>
  <si>
    <t xml:space="preserve">Inconsistencias: variantes en diseño que en código no existen (dark/light mode mobile). Componentes web-app vs mobile-app no concuerdan.</t>
  </si>
  <si>
    <t xml:space="preserve">Frecuente (1–2 veces por semana)</t>
  </si>
  <si>
    <t xml:space="preserve">Entre 30 min y 1 hora</t>
  </si>
  <si>
    <t xml:space="preserve">Definir requerimientos y diseño. No cambiar cosas ya definidas sin planear.</t>
  </si>
  <si>
    <t xml:space="preserve">Token Gap</t>
  </si>
  <si>
    <t xml:space="preserve">10/06/2026 17:41</t>
  </si>
  <si>
    <t xml:space="preserve">meda@100ladrillos.com</t>
  </si>
  <si>
    <t xml:space="preserve">Herramientas y dudas frecuentes</t>
  </si>
  <si>
    <t xml:space="preserve">Organizar capacitaciones</t>
  </si>
  <si>
    <t xml:space="preserve">Onboarding</t>
  </si>
  <si>
    <t xml:space="preserve">11/06/2026 9:55</t>
  </si>
  <si>
    <t xml:space="preserve">livier.hernandez@100ladrillos.com</t>
  </si>
  <si>
    <t xml:space="preserve">Iconos e ilustraciones del brandbook no se usan del todo; deben actualizarse</t>
  </si>
  <si>
    <t xml:space="preserve">Los iconos e ilustraciones</t>
  </si>
  <si>
    <t xml:space="preserve">11/06/2026 11:25</t>
  </si>
  <si>
    <t xml:space="preserve">alannavarro@100ladrillos.com</t>
  </si>
  <si>
    <t xml:space="preserve">No tengo problemas porque mi trabajo no está ahí día a día</t>
  </si>
  <si>
    <t xml:space="preserve">No he identificado problemas</t>
  </si>
  <si>
    <t xml:space="preserve">12/06/2026 9:38</t>
  </si>
  <si>
    <t xml:space="preserve">gabriela.monroy@100ladrillos.com</t>
  </si>
  <si>
    <t xml:space="preserve">Paleta de color</t>
  </si>
  <si>
    <t xml:space="preserve">La paleta de colores</t>
  </si>
  <si>
    <t xml:space="preserve">12/06/2026 12:05</t>
  </si>
  <si>
    <t xml:space="preserve">antonio.becerra@100ladrillos.com</t>
  </si>
  <si>
    <t xml:space="preserve">Product Design</t>
  </si>
  <si>
    <t xml:space="preserve">Actualización e implementación de componentes; soluciones nuevas generan fricción al implementarse</t>
  </si>
  <si>
    <t xml:space="preserve">Implementación y seguimiento</t>
  </si>
  <si>
    <t xml:space="preserve">Governance</t>
  </si>
  <si>
    <t xml:space="preserve">12/06/2026 12:34</t>
  </si>
  <si>
    <t xml:space="preserve">johan@100ladrillos.com</t>
  </si>
  <si>
    <t xml:space="preserve">Colores no compartidos con Figma → buscar manualmente. Iconos con nombres distintos entre brand y bricks-ui. Falta de variaciones de feature → rebotes y rediseños.</t>
  </si>
  <si>
    <t xml:space="preserve">Más de 3 horas</t>
  </si>
  <si>
    <t xml:space="preserve">Actualizar y sincronizar colores, iconos y componentes</t>
  </si>
  <si>
    <t xml:space="preserve">12/06/2026 13:08</t>
  </si>
  <si>
    <t xml:space="preserve">italia.bernal0712@gmail.com</t>
  </si>
  <si>
    <t xml:space="preserve">Lo que tenemos en Later ≠ lo que consumen los devs. Sistema en construcción → experimentación → inconsistencias entre proyectos.</t>
  </si>
  <si>
    <t xml:space="preserve">Cambiar el color Pressed y agregar más variedad de colores</t>
  </si>
  <si>
    <t xml:space="preserve">12/06/2026 13:26</t>
  </si>
  <si>
    <t xml:space="preserve">david@100ladrillos.com</t>
  </si>
  <si>
    <t xml:space="preserve">Inconsistencias, falta de reglas entre componentes experimentales y base</t>
  </si>
  <si>
    <t xml:space="preserve">Regulación entre componentes; comunicación en cambios core</t>
  </si>
  <si>
    <t xml:space="preserve">12/06/2026 13:31</t>
  </si>
  <si>
    <t xml:space="preserve">ricardo.chacon@100ladrillos.com</t>
  </si>
  <si>
    <t xml:space="preserve">Inconsistencias y falta de definición de comportamientos. Brand System = diseño + comportamientos.</t>
  </si>
  <si>
    <t xml:space="preserve">Muy frecuente (varias veces por semana)</t>
  </si>
  <si>
    <t xml:space="preserve">Entre 1 y 3 horas</t>
  </si>
  <si>
    <t xml:space="preserve">Versionado, definición de diseño y comportamiento</t>
  </si>
  <si>
    <t xml:space="preserve">12/06/2026 13:44</t>
  </si>
  <si>
    <t xml:space="preserve">luis.banales@100ladrillos.com</t>
  </si>
  <si>
    <t xml:space="preserve">Colores e íconos que no existen en Brand System → buscar similares. Iconos en Figma no aparecen en la web del design system.</t>
  </si>
  <si>
    <t xml:space="preserve">Que sea fácil encontrar los iconos</t>
  </si>
  <si>
    <t xml:space="preserve">12/06/2026 14:22</t>
  </si>
  <si>
    <t xml:space="preserve">fernanda.zuleta@100ladrillos.com</t>
  </si>
  <si>
    <t xml:space="preserve">Colores que no corresponden con bricks-ui. Componentes en bricks ≠ en Figma.</t>
  </si>
  <si>
    <t xml:space="preserve">Actualizar componentes para que coincidan entre código y diseño</t>
  </si>
  <si>
    <t xml:space="preserve">15/06/2026 14:20</t>
  </si>
  <si>
    <t xml:space="preserve">missael@100ladrillos.com</t>
  </si>
  <si>
    <t xml:space="preserve">Inconsistencias entre componentes (ej. cards de asesores). Componentes no reutilizables → hechos para una sección específica.</t>
  </si>
  <si>
    <t xml:space="preserve">Componentes 100% reutilizables</t>
  </si>
  <si>
    <t xml:space="preserve">15/06/2026 16:35</t>
  </si>
  <si>
    <t xml:space="preserve">jorge.ruiz@100ladrillos.com</t>
  </si>
  <si>
    <t xml:space="preserve">Falta de gráficos auxiliares/apoyo. Sin lineamiento en contexto digital. Rigidez tipográfica.</t>
  </si>
  <si>
    <t xml:space="preserve">Actualizarlo a usos modernos de la marca</t>
  </si>
  <si>
    <t xml:space="preserve">LEYENDA DE EQUIPOS</t>
  </si>
  <si>
    <t xml:space="preserve">AFFINITY MAP — Brand System · Diagnóstico de Fricción</t>
  </si>
  <si>
    <t xml:space="preserve">Cluster</t>
  </si>
  <si>
    <t xml:space="preserve">Evidencia / Cita</t>
  </si>
  <si>
    <t xml:space="preserve">Tipo</t>
  </si>
  <si>
    <t xml:space="preserve">  01  TOKEN GAP — DESINCRONIZACIÓN DISEÑO↔CÓDIGO</t>
  </si>
  <si>
    <t xml:space="preserve">Tecnología</t>
  </si>
  <si>
    <t xml:space="preserve">Variantes en diseño que en código no existen (dark/light mode mobile)</t>
  </si>
  <si>
    <t xml:space="preserve">Fricción</t>
  </si>
  <si>
    <t xml:space="preserve">Colores del brand system no compartidos con Figma → búsqueda manual</t>
  </si>
  <si>
    <t xml:space="preserve">Iconos entre brand y bricks-ui con nombres distintos o variaciones</t>
  </si>
  <si>
    <t xml:space="preserve">Colores que no corresponden con bricks-ui</t>
  </si>
  <si>
    <t xml:space="preserve">Componentes en bricks de una manera, en Figma de otra</t>
  </si>
  <si>
    <t xml:space="preserve">Falta de adaptar bricks-ui a lo nuevo o diseños a lo que ya hay</t>
  </si>
  <si>
    <t xml:space="preserve">Cambio</t>
  </si>
  <si>
    <t xml:space="preserve">Lo que tenemos en Later ≠ lo que consumen los devs</t>
  </si>
  <si>
    <t xml:space="preserve">Experimentación constante → inconsistencias entre proyectos</t>
  </si>
  <si>
    <t xml:space="preserve">  02  GOVERNANCE — GOBIERNO Y VERSIONADO</t>
  </si>
  <si>
    <t xml:space="preserve">Falta de reglas entre componentes experimentales y los base</t>
  </si>
  <si>
    <t xml:space="preserve">Sin definición de comportamientos de los componentes</t>
  </si>
  <si>
    <t xml:space="preserve">Sin versionado del sistema</t>
  </si>
  <si>
    <t xml:space="preserve">Sin comunicación al realizar cambios core</t>
  </si>
  <si>
    <t xml:space="preserve">Componentes hechos para sección específica, no reutilizables</t>
  </si>
  <si>
    <t xml:space="preserve">Flujo necesita soluciones nuevas que generan fricción al implementarse</t>
  </si>
  <si>
    <t xml:space="preserve">Secciones nombradas de manera genérica con contenido genérico</t>
  </si>
  <si>
    <t xml:space="preserve">Falta de lineamiento en contexto digital</t>
  </si>
  <si>
    <t xml:space="preserve">  03  ASSET DRIFT — ASSETS VISUALES DESACTUALIZADOS</t>
  </si>
  <si>
    <t xml:space="preserve">Iconos e ilustraciones del brandbook desactualizados o no usados</t>
  </si>
  <si>
    <t xml:space="preserve">Logos y colores en campañas ≠ los de producto</t>
  </si>
  <si>
    <t xml:space="preserve">Ilustraciones se ven pasadas de moda</t>
  </si>
  <si>
    <t xml:space="preserve">Rigidez tipográfica, falta actualizar a usos modernos</t>
  </si>
  <si>
    <t xml:space="preserve">Falta de gráficos auxiliares y de apoyo</t>
  </si>
  <si>
    <t xml:space="preserve">Sistema en construcción → inconsistencias visuales entre proyectos</t>
  </si>
  <si>
    <t xml:space="preserve">  04  DISTRIBUTION — ACCESIBILIDAD Y DISTRIBUCIÓN</t>
  </si>
  <si>
    <t xml:space="preserve">No se puede descargar elementos directamente (ej. paleta de colores)</t>
  </si>
  <si>
    <t xml:space="preserve">Difícil compartir información del brand system con proveedores</t>
  </si>
  <si>
    <t xml:space="preserve">Brand system solo accesible desde Figma → barrera para Mkt y proveedores</t>
  </si>
  <si>
    <t xml:space="preserve">Paleta de colores sin acceso directo para uso en campañas</t>
  </si>
  <si>
    <t xml:space="preserve">Iconos no disponibles en la página web del design system</t>
  </si>
  <si>
    <t xml:space="preserve">Rastrear colores manualmente por falta de sincronización</t>
  </si>
  <si>
    <t xml:space="preserve">  05  ONBOARDING — CAPACITACIÓN Y DOCUMENTACIÓN</t>
  </si>
  <si>
    <t xml:space="preserve">Herramientas y dudas frecuentes sin guía de capacitación</t>
  </si>
  <si>
    <t xml:space="preserve">Sin documentación para personas que se integran al equipo</t>
  </si>
  <si>
    <t xml:space="preserve">Capacitaciones no organizadas sobre el uso del sistema</t>
  </si>
  <si>
    <t xml:space="preserve">Baja interacción con el sistema por falta de guía estructurada</t>
  </si>
  <si>
    <t xml:space="preserve">Errores ortográficos en documentación del brand system</t>
  </si>
  <si>
    <t xml:space="preserve">INSIGHTS CLAVE — Ordenados por frecuencia e impacto</t>
  </si>
  <si>
    <t xml:space="preserve">Frecuencia (n) calculada dinámicamente desde hoja 'Respuestas Crudas'. Impacto = valoración cualitativa del equipo de diseño.</t>
  </si>
  <si>
    <t xml:space="preserve">Insight / Cluster</t>
  </si>
  <si>
    <t xml:space="preserve">Equipo(s) afectado(s)</t>
  </si>
  <si>
    <t xml:space="preserve">Evidencia representativa</t>
  </si>
  <si>
    <t xml:space="preserve">Impacto</t>
  </si>
  <si>
    <t xml:space="preserve">Token Gap — Desincronización Diseño↔Código</t>
  </si>
  <si>
    <t xml:space="preserve">Tecnología / Desarrollo, Product Design</t>
  </si>
  <si>
    <t xml:space="preserve">Lo que tenemos en Figma/Later no corresponde con lo que consumen los devs ni lo que existe en código.</t>
  </si>
  <si>
    <t xml:space="preserve">Alto</t>
  </si>
  <si>
    <t xml:space="preserve">Governance — Gobierno y Versionado</t>
  </si>
  <si>
    <t xml:space="preserve">Tecnología / Desarrollo, Product Design, Marketing</t>
  </si>
  <si>
    <t xml:space="preserve">No hay reglas claras, versionado ni comunicación de cambios entre componentes base y experimentales.</t>
  </si>
  <si>
    <t xml:space="preserve">Asset Drift — Assets Visuales Desactualizados</t>
  </si>
  <si>
    <t xml:space="preserve">Marketing, Product Design</t>
  </si>
  <si>
    <t xml:space="preserve">Iconos, ilustraciones y paleta de colores están desactualizados o no reflejan el estado real del producto.</t>
  </si>
  <si>
    <t xml:space="preserve">Medio</t>
  </si>
  <si>
    <t xml:space="preserve">Distribution — Accesibilidad y Distribución</t>
  </si>
  <si>
    <t xml:space="preserve">Marketing, Tecnología / Desarrollo</t>
  </si>
  <si>
    <t xml:space="preserve">El brand system vive solo en Figma y no es accesible para todos los equipos ni proveedores.</t>
  </si>
  <si>
    <t xml:space="preserve">Onboarding — Capacitación y Documentación</t>
  </si>
  <si>
    <t xml:space="preserve">Tecnología / Desarrollo, Marketing</t>
  </si>
  <si>
    <t xml:space="preserve">No hay documentación ni capacitación estructurada para incorporar el brand system al flujo de trabajo.</t>
  </si>
  <si>
    <t xml:space="preserve">FRECUENCIA PROMEDIO DE FRICCIÓN POR EQUIPO</t>
  </si>
  <si>
    <t xml:space="preserve">Puntuación promedio (1–5)</t>
  </si>
  <si>
    <t xml:space="preserve">Escala: 1=Casi nunca · 2=Ocasional · 4=Frecuente · 5=Muy frecuente</t>
  </si>
  <si>
    <t xml:space="preserve">DISTRIBUCIÓN DE TIEMPO PERDIDO POR SEMANA</t>
  </si>
  <si>
    <t xml:space="preserve">Rango de tiempo</t>
  </si>
  <si>
    <t xml:space="preserve">Respuestas (n)</t>
  </si>
  <si>
    <t xml:space="preserve">TOTAL</t>
  </si>
  <si>
    <t xml:space="preserve">MATRIZ FRECUENCIA × IMPACTO — 5 Clusters de Fricción</t>
  </si>
  <si>
    <t xml:space="preserve">Posición de cada cluster según frecuencia (encuesta) e impacto en flujo de trabajo (valoración cualitativa del equipo de diseño).</t>
  </si>
  <si>
    <t xml:space="preserve">CLUSTERS</t>
  </si>
  <si>
    <t xml:space="preserve">1. Token Gap — Desincronización Diseño↔Código</t>
  </si>
  <si>
    <t xml:space="preserve">2. Governance — Gobierno y Versionado</t>
  </si>
  <si>
    <t xml:space="preserve">3. Asset Drift — Assets Visuales Desactualizados</t>
  </si>
  <si>
    <t xml:space="preserve">4. Distribution — Accesibilidad y Distribución</t>
  </si>
  <si>
    <t xml:space="preserve">5. Onboarding — Capacitación y Documentación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</si>
</sst>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D2D2D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E8872A"/>
      <name val="Calibri"/>
      <family val="0"/>
      <charset val="1"/>
    </font>
    <font>
      <b val="true"/>
      <sz val="9"/>
      <color rgb="FF856404"/>
      <name val="Calibri"/>
      <family val="0"/>
      <charset val="1"/>
    </font>
    <font>
      <b val="true"/>
      <sz val="9"/>
      <color rgb="FF155724"/>
      <name val="Calibri"/>
      <family val="0"/>
      <charset val="1"/>
    </font>
    <font>
      <b val="true"/>
      <sz val="10"/>
      <color rgb="FF3B7DD8"/>
      <name val="Calibri"/>
      <family val="0"/>
      <charset val="1"/>
    </font>
    <font>
      <b val="true"/>
      <sz val="10"/>
      <color rgb="FFE94560"/>
      <name val="Calibri"/>
      <family val="0"/>
      <charset val="1"/>
    </font>
    <font>
      <b val="true"/>
      <sz val="10"/>
      <color rgb="FF2ECC71"/>
      <name val="Calibri"/>
      <family val="0"/>
      <charset val="1"/>
    </font>
    <font>
      <b val="true"/>
      <sz val="10"/>
      <color rgb="FF9B59B6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1"/>
      <color rgb="FF2D2D2D"/>
      <name val="Calibri"/>
      <family val="0"/>
      <charset val="1"/>
    </font>
    <font>
      <b val="true"/>
      <sz val="14"/>
      <color rgb="FF1A1A2E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1"/>
      <color rgb="FF856404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1A1A2E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2D2D2D"/>
      </patternFill>
    </fill>
    <fill>
      <patternFill patternType="solid">
        <fgColor rgb="FFFDE8E8"/>
        <bgColor rgb="FFEEEEEE"/>
      </patternFill>
    </fill>
    <fill>
      <patternFill patternType="solid">
        <fgColor rgb="FFE8F0FE"/>
        <bgColor rgb="FFF0F4FF"/>
      </patternFill>
    </fill>
    <fill>
      <patternFill patternType="solid">
        <fgColor rgb="FFE8F8F0"/>
        <bgColor rgb="FFF0F4FF"/>
      </patternFill>
    </fill>
    <fill>
      <patternFill patternType="solid">
        <fgColor rgb="FF2D2D2D"/>
        <bgColor rgb="FF1A1A2E"/>
      </patternFill>
    </fill>
    <fill>
      <patternFill patternType="solid">
        <fgColor rgb="FFE8872A"/>
        <bgColor rgb="FFFF8080"/>
      </patternFill>
    </fill>
    <fill>
      <patternFill patternType="solid">
        <fgColor rgb="FFF8F9FA"/>
        <bgColor rgb="FFF9F9F9"/>
      </patternFill>
    </fill>
    <fill>
      <patternFill patternType="solid">
        <fgColor rgb="FFFFF3CD"/>
        <bgColor rgb="FFFDE8E8"/>
      </patternFill>
    </fill>
    <fill>
      <patternFill patternType="solid">
        <fgColor rgb="FFFFFFFF"/>
        <bgColor rgb="FFF9F9F9"/>
      </patternFill>
    </fill>
    <fill>
      <patternFill patternType="solid">
        <fgColor rgb="FFD4EDDA"/>
        <bgColor rgb="FFDDDDDD"/>
      </patternFill>
    </fill>
    <fill>
      <patternFill patternType="solid">
        <fgColor rgb="FF3B7DD8"/>
        <bgColor rgb="FF4F81BD"/>
      </patternFill>
    </fill>
    <fill>
      <patternFill patternType="solid">
        <fgColor rgb="FFE94560"/>
        <bgColor rgb="FFC0504D"/>
      </patternFill>
    </fill>
    <fill>
      <patternFill patternType="solid">
        <fgColor rgb="FF2ECC71"/>
        <bgColor rgb="FF00CCFF"/>
      </patternFill>
    </fill>
    <fill>
      <patternFill patternType="solid">
        <fgColor rgb="FF9B59B6"/>
        <bgColor rgb="FF8064A2"/>
      </patternFill>
    </fill>
    <fill>
      <patternFill patternType="solid">
        <fgColor rgb="FF0F3460"/>
        <bgColor rgb="FF2D2D2D"/>
      </patternFill>
    </fill>
    <fill>
      <patternFill patternType="solid">
        <fgColor rgb="FFF0F4FF"/>
        <bgColor rgb="FFE8F0FE"/>
      </patternFill>
    </fill>
    <fill>
      <patternFill patternType="solid">
        <fgColor rgb="FFFFDAD6"/>
        <bgColor rgb="FFFDE8E8"/>
      </patternFill>
    </fill>
    <fill>
      <patternFill patternType="solid">
        <fgColor rgb="FFEEEEEE"/>
        <bgColor rgb="FFE8F0F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E8872A"/>
      </left>
      <right style="thin">
        <color rgb="FFE8872A"/>
      </right>
      <top style="thin">
        <color rgb="FFE8872A"/>
      </top>
      <bottom style="thin">
        <color rgb="FFE8872A"/>
      </bottom>
      <diagonal/>
    </border>
    <border diagonalUp="false" diagonalDown="false">
      <left style="thick">
        <color rgb="FFE8872A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3B7DD8"/>
      </left>
      <right style="thin">
        <color rgb="FF3B7DD8"/>
      </right>
      <top style="thin">
        <color rgb="FF3B7DD8"/>
      </top>
      <bottom style="thin">
        <color rgb="FF3B7DD8"/>
      </bottom>
      <diagonal/>
    </border>
    <border diagonalUp="false" diagonalDown="false">
      <left style="thick">
        <color rgb="FF3B7DD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 diagonalUp="false" diagonalDown="false">
      <left style="thick">
        <color rgb="FFE9456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 diagonalUp="false" diagonalDown="false">
      <left style="thick">
        <color rgb="FF2ECC71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  <diagonal/>
    </border>
    <border diagonalUp="false" diagonalDown="false">
      <left style="thick">
        <color rgb="FF9B59B6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1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8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1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8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6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DDDDDD"/>
      <rgbColor rgb="FF878787"/>
      <rgbColor rgb="FF9999FF"/>
      <rgbColor rgb="FFC0504D"/>
      <rgbColor rgb="FFFFF3CD"/>
      <rgbColor rgb="FFE8F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DE8E8"/>
      <rgbColor rgb="FFEEEEEE"/>
      <rgbColor rgb="FFF0F4FF"/>
      <rgbColor rgb="FFF8F9FA"/>
      <rgbColor rgb="FFFFDAD6"/>
      <rgbColor rgb="FF3B7DD8"/>
      <rgbColor rgb="FF2ECC71"/>
      <rgbColor rgb="FF9BBB59"/>
      <rgbColor rgb="FFFFCC00"/>
      <rgbColor rgb="FFE8872A"/>
      <rgbColor rgb="FFE94560"/>
      <rgbColor rgb="FF8064A2"/>
      <rgbColor rgb="FF888888"/>
      <rgbColor rgb="FF0F3460"/>
      <rgbColor rgb="FF4F81BD"/>
      <rgbColor rgb="FF155724"/>
      <rgbColor rgb="FF1A1A2E"/>
      <rgbColor rgb="FF993300"/>
      <rgbColor rgb="FF9B59B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Frecuencia promedio de fricción por equipo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Métricas!B2</c:f>
              <c:strCache>
                <c:ptCount val="1"/>
                <c:pt idx="0">
                  <c:v>Puntuación promedio (1–5)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Métricas!$A$3:$A$5</c:f>
              <c:strCache>
                <c:ptCount val="3"/>
                <c:pt idx="0">
                  <c:v>Marketing</c:v>
                </c:pt>
                <c:pt idx="1">
                  <c:v>Tecnología / Desarrollo</c:v>
                </c:pt>
                <c:pt idx="2">
                  <c:v>Product Design</c:v>
                </c:pt>
              </c:strCache>
            </c:strRef>
          </c:cat>
          <c:val>
            <c:numRef>
              <c:f>Métricas!$B$3:$B$5</c:f>
              <c:numCache>
                <c:formatCode>0.00</c:formatCode>
                <c:ptCount val="3"/>
                <c:pt idx="0">
                  <c:v>1.8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84281516"/>
        <c:axId val="32058045"/>
      </c:barChart>
      <c:catAx>
        <c:axId val="84281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58045"/>
        <c:crosses val="autoZero"/>
        <c:auto val="1"/>
        <c:lblAlgn val="ctr"/>
        <c:lblOffset val="100"/>
        <c:noMultiLvlLbl val="0"/>
      </c:catAx>
      <c:valAx>
        <c:axId val="32058045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Puntuación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815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Tiempo perdido por semana (16 respuestas)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Métricas!B15</c:f>
              <c:strCache>
                <c:ptCount val="1"/>
                <c:pt idx="0">
                  <c:v>Respuestas (n)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Métricas!$A$16:$A$19</c:f>
              <c:strCache>
                <c:ptCount val="4"/>
                <c:pt idx="0">
                  <c:v>Menos de 30 minutos</c:v>
                </c:pt>
                <c:pt idx="1">
                  <c:v>Entre 30 min y 1 hora</c:v>
                </c:pt>
                <c:pt idx="2">
                  <c:v>Entre 1 y 3 horas</c:v>
                </c:pt>
                <c:pt idx="3">
                  <c:v>Más de 3 horas</c:v>
                </c:pt>
              </c:strCache>
            </c:strRef>
          </c:cat>
          <c:val>
            <c:numRef>
              <c:f>Métricas!$B$16:$B$19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11</xdr:col>
      <xdr:colOff>147600</xdr:colOff>
      <xdr:row>14</xdr:row>
      <xdr:rowOff>46800</xdr:rowOff>
    </xdr:to>
    <xdr:graphicFrame>
      <xdr:nvGraphicFramePr>
        <xdr:cNvPr id="1" name="Chart 1"/>
        <xdr:cNvGraphicFramePr/>
      </xdr:nvGraphicFramePr>
      <xdr:xfrm>
        <a:off x="3994920" y="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13</xdr:row>
      <xdr:rowOff>0</xdr:rowOff>
    </xdr:from>
    <xdr:to>
      <xdr:col>11</xdr:col>
      <xdr:colOff>147600</xdr:colOff>
      <xdr:row>27</xdr:row>
      <xdr:rowOff>151560</xdr:rowOff>
    </xdr:to>
    <xdr:graphicFrame>
      <xdr:nvGraphicFramePr>
        <xdr:cNvPr id="2" name="Chart 2"/>
        <xdr:cNvGraphicFramePr/>
      </xdr:nvGraphicFramePr>
      <xdr:xfrm>
        <a:off x="3994920" y="32004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3</xdr:col>
      <xdr:colOff>443520</xdr:colOff>
      <xdr:row>3</xdr:row>
      <xdr:rowOff>66600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666720"/>
          <a:ext cx="6857640" cy="5143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5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0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1</v>
      </c>
      <c r="G2" s="2" t="s">
        <v>15</v>
      </c>
      <c r="H2" s="2" t="s">
        <v>16</v>
      </c>
      <c r="I2" s="2" t="s">
        <v>17</v>
      </c>
      <c r="J2" s="3" t="n">
        <v>4</v>
      </c>
    </row>
    <row r="3" customFormat="false" ht="20.85" hidden="false" customHeight="false" outlineLevel="0" collapsed="false">
      <c r="A3" s="2" t="s">
        <v>18</v>
      </c>
      <c r="B3" s="2" t="s">
        <v>19</v>
      </c>
      <c r="C3" s="2" t="s">
        <v>12</v>
      </c>
      <c r="D3" s="2" t="s">
        <v>20</v>
      </c>
      <c r="E3" s="2" t="s">
        <v>21</v>
      </c>
      <c r="F3" s="3" t="n">
        <v>2</v>
      </c>
      <c r="G3" s="2" t="s">
        <v>15</v>
      </c>
      <c r="H3" s="2" t="s">
        <v>22</v>
      </c>
      <c r="I3" s="2" t="s">
        <v>23</v>
      </c>
      <c r="J3" s="3" t="n">
        <v>3</v>
      </c>
    </row>
    <row r="4" customFormat="false" ht="30.55" hidden="false" customHeight="false" outlineLevel="0" collapsed="false">
      <c r="A4" s="4" t="s">
        <v>18</v>
      </c>
      <c r="B4" s="4" t="s">
        <v>24</v>
      </c>
      <c r="C4" s="4" t="s">
        <v>25</v>
      </c>
      <c r="D4" s="4" t="s">
        <v>26</v>
      </c>
      <c r="E4" s="4" t="s">
        <v>27</v>
      </c>
      <c r="F4" s="5" t="n">
        <v>4</v>
      </c>
      <c r="G4" s="4" t="s">
        <v>28</v>
      </c>
      <c r="H4" s="4" t="s">
        <v>29</v>
      </c>
      <c r="I4" s="4" t="s">
        <v>30</v>
      </c>
      <c r="J4" s="5" t="n">
        <v>1</v>
      </c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25</v>
      </c>
      <c r="D5" s="4" t="s">
        <v>33</v>
      </c>
      <c r="E5" s="4" t="s">
        <v>21</v>
      </c>
      <c r="F5" s="5" t="n">
        <v>2</v>
      </c>
      <c r="G5" s="4" t="s">
        <v>28</v>
      </c>
      <c r="H5" s="4" t="s">
        <v>34</v>
      </c>
      <c r="I5" s="4" t="s">
        <v>35</v>
      </c>
      <c r="J5" s="5" t="n">
        <v>5</v>
      </c>
    </row>
    <row r="6" customFormat="false" ht="20.85" hidden="false" customHeight="false" outlineLevel="0" collapsed="false">
      <c r="A6" s="2" t="s">
        <v>36</v>
      </c>
      <c r="B6" s="2" t="s">
        <v>37</v>
      </c>
      <c r="C6" s="2" t="s">
        <v>12</v>
      </c>
      <c r="D6" s="2" t="s">
        <v>38</v>
      </c>
      <c r="E6" s="2" t="s">
        <v>21</v>
      </c>
      <c r="F6" s="3" t="n">
        <v>2</v>
      </c>
      <c r="G6" s="2" t="s">
        <v>28</v>
      </c>
      <c r="H6" s="2" t="s">
        <v>39</v>
      </c>
      <c r="I6" s="2" t="s">
        <v>23</v>
      </c>
      <c r="J6" s="3" t="n">
        <v>3</v>
      </c>
    </row>
    <row r="7" customFormat="false" ht="15" hidden="false" customHeight="false" outlineLevel="0" collapsed="false">
      <c r="A7" s="4" t="s">
        <v>40</v>
      </c>
      <c r="B7" s="4" t="s">
        <v>41</v>
      </c>
      <c r="C7" s="4" t="s">
        <v>25</v>
      </c>
      <c r="D7" s="4" t="s">
        <v>42</v>
      </c>
      <c r="E7" s="4" t="s">
        <v>21</v>
      </c>
      <c r="F7" s="5" t="n">
        <v>2</v>
      </c>
      <c r="G7" s="4" t="s">
        <v>15</v>
      </c>
      <c r="H7" s="4" t="s">
        <v>43</v>
      </c>
      <c r="I7" s="4" t="s">
        <v>35</v>
      </c>
      <c r="J7" s="5" t="n">
        <v>5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12</v>
      </c>
      <c r="D8" s="2" t="s">
        <v>46</v>
      </c>
      <c r="E8" s="2" t="s">
        <v>21</v>
      </c>
      <c r="F8" s="3" t="n">
        <v>2</v>
      </c>
      <c r="G8" s="2" t="s">
        <v>15</v>
      </c>
      <c r="H8" s="2" t="s">
        <v>47</v>
      </c>
      <c r="I8" s="2" t="s">
        <v>23</v>
      </c>
      <c r="J8" s="3" t="n">
        <v>3</v>
      </c>
    </row>
    <row r="9" customFormat="false" ht="20.85" hidden="false" customHeight="false" outlineLevel="0" collapsed="false">
      <c r="A9" s="6" t="s">
        <v>48</v>
      </c>
      <c r="B9" s="6" t="s">
        <v>49</v>
      </c>
      <c r="C9" s="6" t="s">
        <v>50</v>
      </c>
      <c r="D9" s="6" t="s">
        <v>51</v>
      </c>
      <c r="E9" s="6" t="s">
        <v>21</v>
      </c>
      <c r="F9" s="7" t="n">
        <v>2</v>
      </c>
      <c r="G9" s="6" t="s">
        <v>28</v>
      </c>
      <c r="H9" s="6" t="s">
        <v>52</v>
      </c>
      <c r="I9" s="6" t="s">
        <v>53</v>
      </c>
      <c r="J9" s="7" t="n">
        <v>2</v>
      </c>
    </row>
    <row r="10" customFormat="false" ht="30.55" hidden="false" customHeight="false" outlineLevel="0" collapsed="false">
      <c r="A10" s="4" t="s">
        <v>54</v>
      </c>
      <c r="B10" s="4" t="s">
        <v>55</v>
      </c>
      <c r="C10" s="4" t="s">
        <v>25</v>
      </c>
      <c r="D10" s="4" t="s">
        <v>56</v>
      </c>
      <c r="E10" s="4" t="s">
        <v>27</v>
      </c>
      <c r="F10" s="5" t="n">
        <v>4</v>
      </c>
      <c r="G10" s="4" t="s">
        <v>57</v>
      </c>
      <c r="H10" s="4" t="s">
        <v>58</v>
      </c>
      <c r="I10" s="4" t="s">
        <v>30</v>
      </c>
      <c r="J10" s="5" t="n">
        <v>1</v>
      </c>
    </row>
    <row r="11" customFormat="false" ht="20.85" hidden="false" customHeight="false" outlineLevel="0" collapsed="false">
      <c r="A11" s="6" t="s">
        <v>59</v>
      </c>
      <c r="B11" s="6" t="s">
        <v>60</v>
      </c>
      <c r="C11" s="6" t="s">
        <v>50</v>
      </c>
      <c r="D11" s="6" t="s">
        <v>61</v>
      </c>
      <c r="E11" s="6" t="s">
        <v>21</v>
      </c>
      <c r="F11" s="7" t="n">
        <v>2</v>
      </c>
      <c r="G11" s="6" t="s">
        <v>28</v>
      </c>
      <c r="H11" s="6" t="s">
        <v>62</v>
      </c>
      <c r="I11" s="6" t="s">
        <v>30</v>
      </c>
      <c r="J11" s="7" t="n">
        <v>1</v>
      </c>
    </row>
    <row r="12" customFormat="false" ht="20.85" hidden="false" customHeight="false" outlineLevel="0" collapsed="false">
      <c r="A12" s="4" t="s">
        <v>63</v>
      </c>
      <c r="B12" s="4" t="s">
        <v>64</v>
      </c>
      <c r="C12" s="4" t="s">
        <v>25</v>
      </c>
      <c r="D12" s="4" t="s">
        <v>65</v>
      </c>
      <c r="E12" s="4" t="s">
        <v>21</v>
      </c>
      <c r="F12" s="5" t="n">
        <v>2</v>
      </c>
      <c r="G12" s="4" t="s">
        <v>28</v>
      </c>
      <c r="H12" s="4" t="s">
        <v>66</v>
      </c>
      <c r="I12" s="4" t="s">
        <v>53</v>
      </c>
      <c r="J12" s="5" t="n">
        <v>2</v>
      </c>
    </row>
    <row r="13" customFormat="false" ht="20.85" hidden="false" customHeight="false" outlineLevel="0" collapsed="false">
      <c r="A13" s="4" t="s">
        <v>67</v>
      </c>
      <c r="B13" s="4" t="s">
        <v>68</v>
      </c>
      <c r="C13" s="4" t="s">
        <v>25</v>
      </c>
      <c r="D13" s="4" t="s">
        <v>69</v>
      </c>
      <c r="E13" s="4" t="s">
        <v>70</v>
      </c>
      <c r="F13" s="5" t="n">
        <v>5</v>
      </c>
      <c r="G13" s="4" t="s">
        <v>71</v>
      </c>
      <c r="H13" s="4" t="s">
        <v>72</v>
      </c>
      <c r="I13" s="4" t="s">
        <v>53</v>
      </c>
      <c r="J13" s="5" t="n">
        <v>2</v>
      </c>
    </row>
    <row r="14" customFormat="false" ht="20.85" hidden="false" customHeight="false" outlineLevel="0" collapsed="false">
      <c r="A14" s="4" t="s">
        <v>73</v>
      </c>
      <c r="B14" s="4" t="s">
        <v>74</v>
      </c>
      <c r="C14" s="4" t="s">
        <v>25</v>
      </c>
      <c r="D14" s="4" t="s">
        <v>75</v>
      </c>
      <c r="E14" s="4" t="s">
        <v>21</v>
      </c>
      <c r="F14" s="5" t="n">
        <v>2</v>
      </c>
      <c r="G14" s="4" t="s">
        <v>28</v>
      </c>
      <c r="H14" s="4" t="s">
        <v>76</v>
      </c>
      <c r="I14" s="4" t="s">
        <v>17</v>
      </c>
      <c r="J14" s="5" t="n">
        <v>4</v>
      </c>
    </row>
    <row r="15" customFormat="false" ht="20.85" hidden="false" customHeight="false" outlineLevel="0" collapsed="false">
      <c r="A15" s="4" t="s">
        <v>77</v>
      </c>
      <c r="B15" s="4" t="s">
        <v>78</v>
      </c>
      <c r="C15" s="4" t="s">
        <v>25</v>
      </c>
      <c r="D15" s="4" t="s">
        <v>79</v>
      </c>
      <c r="E15" s="4" t="s">
        <v>27</v>
      </c>
      <c r="F15" s="5" t="n">
        <v>4</v>
      </c>
      <c r="G15" s="4" t="s">
        <v>28</v>
      </c>
      <c r="H15" s="4" t="s">
        <v>80</v>
      </c>
      <c r="I15" s="4" t="s">
        <v>30</v>
      </c>
      <c r="J15" s="5" t="n">
        <v>1</v>
      </c>
    </row>
    <row r="16" customFormat="false" ht="20.85" hidden="false" customHeight="false" outlineLevel="0" collapsed="false">
      <c r="A16" s="4" t="s">
        <v>81</v>
      </c>
      <c r="B16" s="4" t="s">
        <v>82</v>
      </c>
      <c r="C16" s="4" t="s">
        <v>25</v>
      </c>
      <c r="D16" s="4" t="s">
        <v>83</v>
      </c>
      <c r="E16" s="4" t="s">
        <v>21</v>
      </c>
      <c r="F16" s="5" t="n">
        <v>2</v>
      </c>
      <c r="G16" s="4" t="s">
        <v>28</v>
      </c>
      <c r="H16" s="4" t="s">
        <v>84</v>
      </c>
      <c r="I16" s="4" t="s">
        <v>53</v>
      </c>
      <c r="J16" s="5" t="n">
        <v>2</v>
      </c>
    </row>
    <row r="17" customFormat="false" ht="20.85" hidden="false" customHeight="false" outlineLevel="0" collapsed="false">
      <c r="A17" s="2" t="s">
        <v>85</v>
      </c>
      <c r="B17" s="2" t="s">
        <v>86</v>
      </c>
      <c r="C17" s="2" t="s">
        <v>12</v>
      </c>
      <c r="D17" s="2" t="s">
        <v>87</v>
      </c>
      <c r="E17" s="2" t="s">
        <v>21</v>
      </c>
      <c r="F17" s="3" t="n">
        <v>2</v>
      </c>
      <c r="G17" s="2" t="s">
        <v>15</v>
      </c>
      <c r="H17" s="2" t="s">
        <v>88</v>
      </c>
      <c r="I17" s="2" t="s">
        <v>23</v>
      </c>
      <c r="J17" s="3" t="n">
        <v>3</v>
      </c>
    </row>
    <row r="20" customFormat="false" ht="15" hidden="false" customHeight="false" outlineLevel="0" collapsed="false">
      <c r="A20" s="8" t="s">
        <v>89</v>
      </c>
    </row>
    <row r="21" customFormat="false" ht="15" hidden="false" customHeight="false" outlineLevel="0" collapsed="false">
      <c r="A21" s="9" t="s">
        <v>12</v>
      </c>
    </row>
    <row r="22" customFormat="false" ht="15" hidden="false" customHeight="false" outlineLevel="0" collapsed="false">
      <c r="A22" s="10" t="s">
        <v>25</v>
      </c>
    </row>
    <row r="23" customFormat="false" ht="15" hidden="false" customHeight="false" outlineLevel="0" collapsed="false">
      <c r="A23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34.5" hidden="false" customHeight="true" outlineLevel="0" collapsed="false">
      <c r="A1" s="12" t="s">
        <v>90</v>
      </c>
      <c r="B1" s="12"/>
      <c r="C1" s="12"/>
      <c r="D1" s="12"/>
    </row>
    <row r="2" customFormat="false" ht="21.75" hidden="false" customHeight="true" outlineLevel="0" collapsed="false">
      <c r="A2" s="13" t="s">
        <v>91</v>
      </c>
      <c r="B2" s="13" t="s">
        <v>2</v>
      </c>
      <c r="C2" s="13" t="s">
        <v>92</v>
      </c>
      <c r="D2" s="13" t="s">
        <v>93</v>
      </c>
    </row>
    <row r="3" customFormat="false" ht="25.5" hidden="false" customHeight="true" outlineLevel="0" collapsed="false">
      <c r="A3" s="14" t="s">
        <v>94</v>
      </c>
      <c r="B3" s="14"/>
      <c r="C3" s="14"/>
      <c r="D3" s="14"/>
    </row>
    <row r="4" customFormat="false" ht="30" hidden="false" customHeight="true" outlineLevel="0" collapsed="false">
      <c r="A4" s="15" t="s">
        <v>30</v>
      </c>
      <c r="B4" s="16" t="s">
        <v>95</v>
      </c>
      <c r="C4" s="17" t="s">
        <v>96</v>
      </c>
      <c r="D4" s="18" t="s">
        <v>97</v>
      </c>
    </row>
    <row r="5" customFormat="false" ht="30" hidden="false" customHeight="true" outlineLevel="0" collapsed="false">
      <c r="A5" s="19" t="s">
        <v>30</v>
      </c>
      <c r="B5" s="20" t="s">
        <v>95</v>
      </c>
      <c r="C5" s="21" t="s">
        <v>98</v>
      </c>
      <c r="D5" s="18" t="s">
        <v>97</v>
      </c>
    </row>
    <row r="6" customFormat="false" ht="30" hidden="false" customHeight="true" outlineLevel="0" collapsed="false">
      <c r="A6" s="15" t="s">
        <v>30</v>
      </c>
      <c r="B6" s="16" t="s">
        <v>95</v>
      </c>
      <c r="C6" s="17" t="s">
        <v>99</v>
      </c>
      <c r="D6" s="18" t="s">
        <v>97</v>
      </c>
    </row>
    <row r="7" customFormat="false" ht="30" hidden="false" customHeight="true" outlineLevel="0" collapsed="false">
      <c r="A7" s="19" t="s">
        <v>30</v>
      </c>
      <c r="B7" s="20" t="s">
        <v>95</v>
      </c>
      <c r="C7" s="21" t="s">
        <v>100</v>
      </c>
      <c r="D7" s="18" t="s">
        <v>97</v>
      </c>
    </row>
    <row r="8" customFormat="false" ht="30" hidden="false" customHeight="true" outlineLevel="0" collapsed="false">
      <c r="A8" s="15" t="s">
        <v>30</v>
      </c>
      <c r="B8" s="16" t="s">
        <v>95</v>
      </c>
      <c r="C8" s="17" t="s">
        <v>101</v>
      </c>
      <c r="D8" s="18" t="s">
        <v>97</v>
      </c>
    </row>
    <row r="9" customFormat="false" ht="30" hidden="false" customHeight="true" outlineLevel="0" collapsed="false">
      <c r="A9" s="19" t="s">
        <v>30</v>
      </c>
      <c r="B9" s="20" t="s">
        <v>95</v>
      </c>
      <c r="C9" s="21" t="s">
        <v>102</v>
      </c>
      <c r="D9" s="22" t="s">
        <v>103</v>
      </c>
    </row>
    <row r="10" customFormat="false" ht="30" hidden="false" customHeight="true" outlineLevel="0" collapsed="false">
      <c r="A10" s="15" t="s">
        <v>30</v>
      </c>
      <c r="B10" s="16" t="s">
        <v>95</v>
      </c>
      <c r="C10" s="17" t="s">
        <v>58</v>
      </c>
      <c r="D10" s="22" t="s">
        <v>103</v>
      </c>
    </row>
    <row r="11" customFormat="false" ht="30" hidden="false" customHeight="true" outlineLevel="0" collapsed="false">
      <c r="A11" s="19" t="s">
        <v>30</v>
      </c>
      <c r="B11" s="20" t="s">
        <v>50</v>
      </c>
      <c r="C11" s="21" t="s">
        <v>104</v>
      </c>
      <c r="D11" s="18" t="s">
        <v>97</v>
      </c>
    </row>
    <row r="12" customFormat="false" ht="30" hidden="false" customHeight="true" outlineLevel="0" collapsed="false">
      <c r="A12" s="15" t="s">
        <v>30</v>
      </c>
      <c r="B12" s="16" t="s">
        <v>50</v>
      </c>
      <c r="C12" s="17" t="s">
        <v>105</v>
      </c>
      <c r="D12" s="18" t="s">
        <v>97</v>
      </c>
    </row>
    <row r="13" customFormat="false" ht="25.5" hidden="false" customHeight="true" outlineLevel="0" collapsed="false">
      <c r="A13" s="23" t="s">
        <v>106</v>
      </c>
      <c r="B13" s="23"/>
      <c r="C13" s="23"/>
      <c r="D13" s="23"/>
    </row>
    <row r="14" customFormat="false" ht="30" hidden="false" customHeight="true" outlineLevel="0" collapsed="false">
      <c r="A14" s="24" t="s">
        <v>53</v>
      </c>
      <c r="B14" s="16" t="s">
        <v>95</v>
      </c>
      <c r="C14" s="17" t="s">
        <v>107</v>
      </c>
      <c r="D14" s="18" t="s">
        <v>97</v>
      </c>
    </row>
    <row r="15" customFormat="false" ht="30" hidden="false" customHeight="true" outlineLevel="0" collapsed="false">
      <c r="A15" s="25" t="s">
        <v>53</v>
      </c>
      <c r="B15" s="20" t="s">
        <v>95</v>
      </c>
      <c r="C15" s="21" t="s">
        <v>108</v>
      </c>
      <c r="D15" s="18" t="s">
        <v>97</v>
      </c>
    </row>
    <row r="16" customFormat="false" ht="30" hidden="false" customHeight="true" outlineLevel="0" collapsed="false">
      <c r="A16" s="24" t="s">
        <v>53</v>
      </c>
      <c r="B16" s="16" t="s">
        <v>95</v>
      </c>
      <c r="C16" s="17" t="s">
        <v>109</v>
      </c>
      <c r="D16" s="22" t="s">
        <v>103</v>
      </c>
    </row>
    <row r="17" customFormat="false" ht="30" hidden="false" customHeight="true" outlineLevel="0" collapsed="false">
      <c r="A17" s="25" t="s">
        <v>53</v>
      </c>
      <c r="B17" s="20" t="s">
        <v>95</v>
      </c>
      <c r="C17" s="21" t="s">
        <v>110</v>
      </c>
      <c r="D17" s="18" t="s">
        <v>97</v>
      </c>
    </row>
    <row r="18" customFormat="false" ht="30" hidden="false" customHeight="true" outlineLevel="0" collapsed="false">
      <c r="A18" s="24" t="s">
        <v>53</v>
      </c>
      <c r="B18" s="16" t="s">
        <v>95</v>
      </c>
      <c r="C18" s="17" t="s">
        <v>111</v>
      </c>
      <c r="D18" s="18" t="s">
        <v>97</v>
      </c>
    </row>
    <row r="19" customFormat="false" ht="30" hidden="false" customHeight="true" outlineLevel="0" collapsed="false">
      <c r="A19" s="25" t="s">
        <v>53</v>
      </c>
      <c r="B19" s="20" t="s">
        <v>50</v>
      </c>
      <c r="C19" s="21" t="s">
        <v>112</v>
      </c>
      <c r="D19" s="18" t="s">
        <v>97</v>
      </c>
    </row>
    <row r="20" customFormat="false" ht="30" hidden="false" customHeight="true" outlineLevel="0" collapsed="false">
      <c r="A20" s="24" t="s">
        <v>53</v>
      </c>
      <c r="B20" s="16" t="s">
        <v>12</v>
      </c>
      <c r="C20" s="17" t="s">
        <v>113</v>
      </c>
      <c r="D20" s="18" t="s">
        <v>97</v>
      </c>
    </row>
    <row r="21" customFormat="false" ht="30" hidden="false" customHeight="true" outlineLevel="0" collapsed="false">
      <c r="A21" s="25" t="s">
        <v>53</v>
      </c>
      <c r="B21" s="20" t="s">
        <v>12</v>
      </c>
      <c r="C21" s="21" t="s">
        <v>114</v>
      </c>
      <c r="D21" s="18" t="s">
        <v>97</v>
      </c>
    </row>
    <row r="22" customFormat="false" ht="25.5" hidden="false" customHeight="true" outlineLevel="0" collapsed="false">
      <c r="A22" s="26" t="s">
        <v>115</v>
      </c>
      <c r="B22" s="26"/>
      <c r="C22" s="26"/>
      <c r="D22" s="26"/>
    </row>
    <row r="23" customFormat="false" ht="30" hidden="false" customHeight="true" outlineLevel="0" collapsed="false">
      <c r="A23" s="27" t="s">
        <v>23</v>
      </c>
      <c r="B23" s="20" t="s">
        <v>12</v>
      </c>
      <c r="C23" s="21" t="s">
        <v>116</v>
      </c>
      <c r="D23" s="18" t="s">
        <v>97</v>
      </c>
    </row>
    <row r="24" customFormat="false" ht="30" hidden="false" customHeight="true" outlineLevel="0" collapsed="false">
      <c r="A24" s="28" t="s">
        <v>23</v>
      </c>
      <c r="B24" s="16" t="s">
        <v>12</v>
      </c>
      <c r="C24" s="17" t="s">
        <v>117</v>
      </c>
      <c r="D24" s="18" t="s">
        <v>97</v>
      </c>
    </row>
    <row r="25" customFormat="false" ht="30" hidden="false" customHeight="true" outlineLevel="0" collapsed="false">
      <c r="A25" s="27" t="s">
        <v>23</v>
      </c>
      <c r="B25" s="20" t="s">
        <v>12</v>
      </c>
      <c r="C25" s="21" t="s">
        <v>118</v>
      </c>
      <c r="D25" s="18" t="s">
        <v>97</v>
      </c>
    </row>
    <row r="26" customFormat="false" ht="30" hidden="false" customHeight="true" outlineLevel="0" collapsed="false">
      <c r="A26" s="28" t="s">
        <v>23</v>
      </c>
      <c r="B26" s="16" t="s">
        <v>12</v>
      </c>
      <c r="C26" s="17" t="s">
        <v>119</v>
      </c>
      <c r="D26" s="18" t="s">
        <v>97</v>
      </c>
    </row>
    <row r="27" customFormat="false" ht="30" hidden="false" customHeight="true" outlineLevel="0" collapsed="false">
      <c r="A27" s="27" t="s">
        <v>23</v>
      </c>
      <c r="B27" s="20" t="s">
        <v>12</v>
      </c>
      <c r="C27" s="21" t="s">
        <v>120</v>
      </c>
      <c r="D27" s="18" t="s">
        <v>97</v>
      </c>
    </row>
    <row r="28" customFormat="false" ht="30" hidden="false" customHeight="true" outlineLevel="0" collapsed="false">
      <c r="A28" s="28" t="s">
        <v>23</v>
      </c>
      <c r="B28" s="16" t="s">
        <v>50</v>
      </c>
      <c r="C28" s="17" t="s">
        <v>121</v>
      </c>
      <c r="D28" s="18" t="s">
        <v>97</v>
      </c>
    </row>
    <row r="29" customFormat="false" ht="25.5" hidden="false" customHeight="true" outlineLevel="0" collapsed="false">
      <c r="A29" s="29" t="s">
        <v>122</v>
      </c>
      <c r="B29" s="29"/>
      <c r="C29" s="29"/>
      <c r="D29" s="29"/>
    </row>
    <row r="30" customFormat="false" ht="30" hidden="false" customHeight="true" outlineLevel="0" collapsed="false">
      <c r="A30" s="30" t="s">
        <v>17</v>
      </c>
      <c r="B30" s="16" t="s">
        <v>12</v>
      </c>
      <c r="C30" s="17" t="s">
        <v>123</v>
      </c>
      <c r="D30" s="18" t="s">
        <v>97</v>
      </c>
    </row>
    <row r="31" customFormat="false" ht="30" hidden="false" customHeight="true" outlineLevel="0" collapsed="false">
      <c r="A31" s="31" t="s">
        <v>17</v>
      </c>
      <c r="B31" s="20" t="s">
        <v>12</v>
      </c>
      <c r="C31" s="21" t="s">
        <v>124</v>
      </c>
      <c r="D31" s="18" t="s">
        <v>97</v>
      </c>
    </row>
    <row r="32" customFormat="false" ht="30" hidden="false" customHeight="true" outlineLevel="0" collapsed="false">
      <c r="A32" s="30" t="s">
        <v>17</v>
      </c>
      <c r="B32" s="16" t="s">
        <v>12</v>
      </c>
      <c r="C32" s="17" t="s">
        <v>125</v>
      </c>
      <c r="D32" s="18" t="s">
        <v>97</v>
      </c>
    </row>
    <row r="33" customFormat="false" ht="30" hidden="false" customHeight="true" outlineLevel="0" collapsed="false">
      <c r="A33" s="31" t="s">
        <v>17</v>
      </c>
      <c r="B33" s="20" t="s">
        <v>12</v>
      </c>
      <c r="C33" s="21" t="s">
        <v>126</v>
      </c>
      <c r="D33" s="18" t="s">
        <v>97</v>
      </c>
    </row>
    <row r="34" customFormat="false" ht="30" hidden="false" customHeight="true" outlineLevel="0" collapsed="false">
      <c r="A34" s="30" t="s">
        <v>17</v>
      </c>
      <c r="B34" s="16" t="s">
        <v>95</v>
      </c>
      <c r="C34" s="17" t="s">
        <v>127</v>
      </c>
      <c r="D34" s="18" t="s">
        <v>97</v>
      </c>
    </row>
    <row r="35" customFormat="false" ht="30" hidden="false" customHeight="true" outlineLevel="0" collapsed="false">
      <c r="A35" s="31" t="s">
        <v>17</v>
      </c>
      <c r="B35" s="20" t="s">
        <v>95</v>
      </c>
      <c r="C35" s="21" t="s">
        <v>128</v>
      </c>
      <c r="D35" s="18" t="s">
        <v>97</v>
      </c>
    </row>
    <row r="36" customFormat="false" ht="25.5" hidden="false" customHeight="true" outlineLevel="0" collapsed="false">
      <c r="A36" s="32" t="s">
        <v>129</v>
      </c>
      <c r="B36" s="32"/>
      <c r="C36" s="32"/>
      <c r="D36" s="32"/>
    </row>
    <row r="37" customFormat="false" ht="30" hidden="false" customHeight="true" outlineLevel="0" collapsed="false">
      <c r="A37" s="33" t="s">
        <v>35</v>
      </c>
      <c r="B37" s="20" t="s">
        <v>95</v>
      </c>
      <c r="C37" s="21" t="s">
        <v>130</v>
      </c>
      <c r="D37" s="18" t="s">
        <v>97</v>
      </c>
    </row>
    <row r="38" customFormat="false" ht="30" hidden="false" customHeight="true" outlineLevel="0" collapsed="false">
      <c r="A38" s="34" t="s">
        <v>35</v>
      </c>
      <c r="B38" s="16" t="s">
        <v>95</v>
      </c>
      <c r="C38" s="17" t="s">
        <v>131</v>
      </c>
      <c r="D38" s="18" t="s">
        <v>97</v>
      </c>
    </row>
    <row r="39" customFormat="false" ht="30" hidden="false" customHeight="true" outlineLevel="0" collapsed="false">
      <c r="A39" s="33" t="s">
        <v>35</v>
      </c>
      <c r="B39" s="20" t="s">
        <v>95</v>
      </c>
      <c r="C39" s="21" t="s">
        <v>132</v>
      </c>
      <c r="D39" s="22" t="s">
        <v>103</v>
      </c>
    </row>
    <row r="40" customFormat="false" ht="30" hidden="false" customHeight="true" outlineLevel="0" collapsed="false">
      <c r="A40" s="34" t="s">
        <v>35</v>
      </c>
      <c r="B40" s="16" t="s">
        <v>95</v>
      </c>
      <c r="C40" s="17" t="s">
        <v>133</v>
      </c>
      <c r="D40" s="18" t="s">
        <v>97</v>
      </c>
    </row>
    <row r="41" customFormat="false" ht="30" hidden="false" customHeight="true" outlineLevel="0" collapsed="false">
      <c r="A41" s="33" t="s">
        <v>35</v>
      </c>
      <c r="B41" s="20" t="s">
        <v>12</v>
      </c>
      <c r="C41" s="21" t="s">
        <v>134</v>
      </c>
      <c r="D41" s="18" t="s">
        <v>97</v>
      </c>
    </row>
  </sheetData>
  <mergeCells count="6">
    <mergeCell ref="A1:D1"/>
    <mergeCell ref="A3:D3"/>
    <mergeCell ref="A13:D13"/>
    <mergeCell ref="A22:D22"/>
    <mergeCell ref="A29:D29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55"/>
    <col collapsed="false" customWidth="true" hidden="false" outlineLevel="0" max="5" min="5" style="0" width="16"/>
  </cols>
  <sheetData>
    <row r="1" customFormat="false" ht="34.5" hidden="false" customHeight="true" outlineLevel="0" collapsed="false">
      <c r="A1" s="12" t="s">
        <v>135</v>
      </c>
      <c r="B1" s="12"/>
      <c r="C1" s="12"/>
      <c r="D1" s="12"/>
      <c r="E1" s="12"/>
    </row>
    <row r="2" customFormat="false" ht="18" hidden="false" customHeight="true" outlineLevel="0" collapsed="false">
      <c r="A2" s="35" t="s">
        <v>136</v>
      </c>
      <c r="B2" s="35"/>
      <c r="C2" s="35"/>
      <c r="D2" s="35"/>
      <c r="E2" s="35"/>
    </row>
    <row r="3" customFormat="false" ht="25.5" hidden="false" customHeight="true" outlineLevel="0" collapsed="false">
      <c r="A3" s="36" t="s">
        <v>137</v>
      </c>
      <c r="B3" s="36" t="s">
        <v>138</v>
      </c>
      <c r="C3" s="36" t="s">
        <v>5</v>
      </c>
      <c r="D3" s="36" t="s">
        <v>139</v>
      </c>
      <c r="E3" s="36" t="s">
        <v>140</v>
      </c>
    </row>
    <row r="4" customFormat="false" ht="54.75" hidden="false" customHeight="true" outlineLevel="0" collapsed="false">
      <c r="A4" s="37" t="s">
        <v>141</v>
      </c>
      <c r="B4" s="17" t="s">
        <v>142</v>
      </c>
      <c r="C4" s="38" t="n">
        <f aca="false">COUNTIF('Respuestas Crudas'!J$2:J$17,1)</f>
        <v>4</v>
      </c>
      <c r="D4" s="21" t="s">
        <v>143</v>
      </c>
      <c r="E4" s="39" t="s">
        <v>144</v>
      </c>
    </row>
    <row r="5" customFormat="false" ht="54.75" hidden="false" customHeight="true" outlineLevel="0" collapsed="false">
      <c r="A5" s="40" t="s">
        <v>145</v>
      </c>
      <c r="B5" s="17" t="s">
        <v>146</v>
      </c>
      <c r="C5" s="38" t="n">
        <f aca="false">COUNTIF('Respuestas Crudas'!J$2:J$17,2)</f>
        <v>4</v>
      </c>
      <c r="D5" s="21" t="s">
        <v>147</v>
      </c>
      <c r="E5" s="39" t="s">
        <v>144</v>
      </c>
    </row>
    <row r="6" customFormat="false" ht="54.75" hidden="false" customHeight="true" outlineLevel="0" collapsed="false">
      <c r="A6" s="41" t="s">
        <v>148</v>
      </c>
      <c r="B6" s="17" t="s">
        <v>149</v>
      </c>
      <c r="C6" s="38" t="n">
        <f aca="false">COUNTIF('Respuestas Crudas'!J$2:J$17,3)</f>
        <v>4</v>
      </c>
      <c r="D6" s="21" t="s">
        <v>150</v>
      </c>
      <c r="E6" s="42" t="s">
        <v>151</v>
      </c>
    </row>
    <row r="7" customFormat="false" ht="54.75" hidden="false" customHeight="true" outlineLevel="0" collapsed="false">
      <c r="A7" s="43" t="s">
        <v>152</v>
      </c>
      <c r="B7" s="17" t="s">
        <v>153</v>
      </c>
      <c r="C7" s="38" t="n">
        <f aca="false">COUNTIF('Respuestas Crudas'!J$2:J$17,4)</f>
        <v>2</v>
      </c>
      <c r="D7" s="21" t="s">
        <v>154</v>
      </c>
      <c r="E7" s="42" t="s">
        <v>151</v>
      </c>
    </row>
    <row r="8" customFormat="false" ht="54.75" hidden="false" customHeight="true" outlineLevel="0" collapsed="false">
      <c r="A8" s="44" t="s">
        <v>155</v>
      </c>
      <c r="B8" s="17" t="s">
        <v>156</v>
      </c>
      <c r="C8" s="38" t="n">
        <f aca="false">COUNTIF('Respuestas Crudas'!J$2:J$17,5)</f>
        <v>2</v>
      </c>
      <c r="D8" s="21" t="s">
        <v>157</v>
      </c>
      <c r="E8" s="42" t="s">
        <v>151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45" t="s">
        <v>158</v>
      </c>
      <c r="B1" s="45"/>
    </row>
    <row r="2" customFormat="false" ht="30" hidden="false" customHeight="true" outlineLevel="0" collapsed="false">
      <c r="A2" s="46" t="s">
        <v>2</v>
      </c>
      <c r="B2" s="46" t="s">
        <v>159</v>
      </c>
    </row>
    <row r="3" customFormat="false" ht="24.75" hidden="false" customHeight="true" outlineLevel="0" collapsed="false">
      <c r="A3" s="47" t="s">
        <v>12</v>
      </c>
      <c r="B3" s="48" t="n">
        <f aca="false">AVERAGEIF('Respuestas Crudas'!C$2:C$17,"Marketing",'Respuestas Crudas'!F$2:F$17)</f>
        <v>1.8</v>
      </c>
    </row>
    <row r="4" customFormat="false" ht="24.75" hidden="false" customHeight="true" outlineLevel="0" collapsed="false">
      <c r="A4" s="47" t="s">
        <v>25</v>
      </c>
      <c r="B4" s="48" t="n">
        <f aca="false">AVERAGEIF('Respuestas Crudas'!C$2:C$17,"Tecnología / Desarrollo",'Respuestas Crudas'!F$2:F$17)</f>
        <v>3</v>
      </c>
    </row>
    <row r="5" customFormat="false" ht="24.75" hidden="false" customHeight="true" outlineLevel="0" collapsed="false">
      <c r="A5" s="47" t="s">
        <v>50</v>
      </c>
      <c r="B5" s="48" t="n">
        <f aca="false">AVERAGEIF('Respuestas Crudas'!C$2:C$17,"Product Design",'Respuestas Crudas'!F$2:F$17)</f>
        <v>2</v>
      </c>
    </row>
    <row r="6" customFormat="false" ht="15" hidden="false" customHeight="false" outlineLevel="0" collapsed="false">
      <c r="A6" s="35" t="s">
        <v>160</v>
      </c>
      <c r="B6" s="35"/>
    </row>
    <row r="14" customFormat="false" ht="27.75" hidden="false" customHeight="true" outlineLevel="0" collapsed="false">
      <c r="A14" s="49" t="s">
        <v>161</v>
      </c>
      <c r="B14" s="49"/>
    </row>
    <row r="15" customFormat="false" ht="30" hidden="false" customHeight="true" outlineLevel="0" collapsed="false">
      <c r="A15" s="46" t="s">
        <v>162</v>
      </c>
      <c r="B15" s="46" t="s">
        <v>163</v>
      </c>
    </row>
    <row r="16" customFormat="false" ht="21.75" hidden="false" customHeight="true" outlineLevel="0" collapsed="false">
      <c r="A16" s="17" t="s">
        <v>15</v>
      </c>
      <c r="B16" s="50" t="n">
        <f aca="false">COUNTIF('Respuestas Crudas'!G$2:G$17,"Menos de 30 minutos")</f>
        <v>5</v>
      </c>
    </row>
    <row r="17" customFormat="false" ht="21.75" hidden="false" customHeight="true" outlineLevel="0" collapsed="false">
      <c r="A17" s="17" t="s">
        <v>28</v>
      </c>
      <c r="B17" s="50" t="n">
        <f aca="false">COUNTIF('Respuestas Crudas'!G$2:G$17,"Entre 30 min y 1 hora")</f>
        <v>9</v>
      </c>
    </row>
    <row r="18" customFormat="false" ht="21.75" hidden="false" customHeight="true" outlineLevel="0" collapsed="false">
      <c r="A18" s="17" t="s">
        <v>71</v>
      </c>
      <c r="B18" s="50" t="n">
        <f aca="false">COUNTIF('Respuestas Crudas'!G$2:G$17,"Entre 1 y 3 horas")</f>
        <v>1</v>
      </c>
    </row>
    <row r="19" customFormat="false" ht="21.75" hidden="false" customHeight="true" outlineLevel="0" collapsed="false">
      <c r="A19" s="17" t="s">
        <v>57</v>
      </c>
      <c r="B19" s="50" t="n">
        <f aca="false">COUNTIF('Respuestas Crudas'!G$2:G$17,"Más de 3 horas")</f>
        <v>1</v>
      </c>
    </row>
    <row r="20" customFormat="false" ht="21.75" hidden="false" customHeight="true" outlineLevel="0" collapsed="false">
      <c r="A20" s="51" t="s">
        <v>164</v>
      </c>
      <c r="B20" s="52" t="n">
        <f aca="false">SUM(B16:B19)</f>
        <v>16</v>
      </c>
    </row>
  </sheetData>
  <mergeCells count="3">
    <mergeCell ref="A1:B1"/>
    <mergeCell ref="A6:B6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6" min="2" style="0" width="18"/>
  </cols>
  <sheetData>
    <row r="1" customFormat="false" ht="34.5" hidden="false" customHeight="true" outlineLevel="0" collapsed="false">
      <c r="A1" s="12" t="s">
        <v>165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35" t="s">
        <v>166</v>
      </c>
      <c r="B2" s="35"/>
      <c r="C2" s="35"/>
      <c r="D2" s="35"/>
      <c r="E2" s="35"/>
      <c r="F2" s="35"/>
    </row>
    <row r="3" customFormat="false" ht="399.75" hidden="false" customHeight="true" outlineLevel="0" collapsed="false"/>
    <row r="32" customFormat="false" ht="15" hidden="false" customHeight="false" outlineLevel="0" collapsed="false">
      <c r="A32" s="8" t="s">
        <v>167</v>
      </c>
    </row>
    <row r="33" customFormat="false" ht="15" hidden="false" customHeight="false" outlineLevel="0" collapsed="false">
      <c r="A33" s="53" t="s">
        <v>168</v>
      </c>
    </row>
    <row r="34" customFormat="false" ht="15" hidden="false" customHeight="false" outlineLevel="0" collapsed="false">
      <c r="A34" s="54" t="s">
        <v>169</v>
      </c>
    </row>
    <row r="35" customFormat="false" ht="15" hidden="false" customHeight="false" outlineLevel="0" collapsed="false">
      <c r="A35" s="55" t="s">
        <v>170</v>
      </c>
    </row>
    <row r="36" customFormat="false" ht="15" hidden="false" customHeight="false" outlineLevel="0" collapsed="false">
      <c r="A36" s="56" t="s">
        <v>171</v>
      </c>
    </row>
    <row r="37" customFormat="false" ht="15" hidden="false" customHeight="false" outlineLevel="0" collapsed="false">
      <c r="A37" s="57" t="s">
        <v>172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2026-06-18T16:01:04Z</dcterms:created>
  <dc:creator>openpyxl</dc:creator>
  <dc:description/>
  <dc:language>en-US</dc:language>
  <cp:lastModifiedBy/>
  <dcterms:modified xsi:type="dcterms:W3CDTF">2026-06-18T16:01:20Z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